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9"/>
  <workbookPr/>
  <mc:AlternateContent xmlns:mc="http://schemas.openxmlformats.org/markup-compatibility/2006">
    <mc:Choice Requires="x15">
      <x15ac:absPath xmlns:x15ac="http://schemas.microsoft.com/office/spreadsheetml/2010/11/ac" url="/Users/wendy/Desktop/"/>
    </mc:Choice>
  </mc:AlternateContent>
  <xr:revisionPtr revIDLastSave="0" documentId="8_{65DAEF75-CD46-E647-A1FA-D40AB47740A7}" xr6:coauthVersionLast="47" xr6:coauthVersionMax="47" xr10:uidLastSave="{00000000-0000-0000-0000-000000000000}"/>
  <bookViews>
    <workbookView xWindow="0" yWindow="460" windowWidth="28800" windowHeight="12280" xr2:uid="{00000000-000D-0000-FFFF-FFFF00000000}"/>
  </bookViews>
  <sheets>
    <sheet name="4-代理人DEMO故事线" sheetId="13" r:id="rId1"/>
    <sheet name="4-代理人DEMO故事线（旧）" sheetId="11" r:id="rId2"/>
    <sheet name="Sheet1" sheetId="12" r:id="rId3"/>
    <sheet name="分公司内勤" sheetId="7" state="hidden" r:id="rId4"/>
    <sheet name="数据汇总" sheetId="8"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8" l="1"/>
  <c r="E5" i="8"/>
  <c r="H4" i="8"/>
  <c r="E4" i="8"/>
  <c r="H3" i="8"/>
  <c r="E3" i="8"/>
  <c r="H2" i="8"/>
  <c r="E2" i="8"/>
</calcChain>
</file>

<file path=xl/sharedStrings.xml><?xml version="1.0" encoding="utf-8"?>
<sst xmlns="http://schemas.openxmlformats.org/spreadsheetml/2006/main" count="141" uniqueCount="123">
  <si>
    <r>
      <rPr>
        <sz val="11"/>
        <color theme="1"/>
        <rFont val="华文楷体"/>
        <charset val="134"/>
      </rPr>
      <t>代理人调研</t>
    </r>
    <r>
      <rPr>
        <b/>
        <sz val="11"/>
        <color rgb="FFFF0000"/>
        <rFont val="华文楷体"/>
        <charset val="134"/>
      </rPr>
      <t>高频且重要</t>
    </r>
    <r>
      <rPr>
        <sz val="11"/>
        <color theme="1"/>
        <rFont val="华文楷体"/>
        <charset val="134"/>
      </rPr>
      <t>需求</t>
    </r>
  </si>
  <si>
    <t>Demo故事线</t>
  </si>
  <si>
    <t>时间线</t>
  </si>
  <si>
    <t>万能营销助手赋能</t>
  </si>
  <si>
    <t>业务场景细节</t>
  </si>
  <si>
    <t>业务场景马总指导的对应关系</t>
  </si>
  <si>
    <t>制定经营计划及指引</t>
  </si>
  <si>
    <t>每月初</t>
  </si>
  <si>
    <t>提醒代理人盘点客户，自动形成经营计划</t>
  </si>
  <si>
    <r>
      <t xml:space="preserve">1、每月初提醒代理人盘点客户
</t>
    </r>
    <r>
      <rPr>
        <sz val="11"/>
        <rFont val="华文楷体"/>
        <charset val="134"/>
      </rPr>
      <t>月初第一天，代理人打开口袋E。
助手主动提醒：“新的一个月开始啦，记得完成客户盘点哦。”同时，助手自动推荐了精选客户名单，并附上清晰的推荐理由。
代理人查看精选客户名单，系统清晰展示每一位客户的核心画像和精选理由。
代理人语音输入：“帮我盘点全部推荐客户”。
助手自动帮助代理人完成所有推荐客户的盘点工作，并提示“已为您完成全部推荐客户的盘点”。</t>
    </r>
  </si>
  <si>
    <t>服务被动转主动：主动提醒盘点客户、生成经营计划
深度可视化：可视化呈现经营计划总览、客户分布情况
对话及交易：对话式完成代理人盘点客户、自定义添加计划需求</t>
  </si>
  <si>
    <r>
      <t xml:space="preserve">2、自动形成经营计划
</t>
    </r>
    <r>
      <rPr>
        <sz val="11"/>
        <rFont val="华文楷体"/>
        <charset val="134"/>
      </rPr>
      <t>助手主动提醒：“根据您盘点的客户，为您生成当月经营计划，请查收。”</t>
    </r>
    <r>
      <rPr>
        <b/>
        <sz val="11"/>
        <rFont val="华文楷体"/>
        <charset val="134"/>
      </rPr>
      <t xml:space="preserve">
</t>
    </r>
    <r>
      <rPr>
        <sz val="11"/>
        <rFont val="华文楷体"/>
        <charset val="134"/>
      </rPr>
      <t>计划总览清晰展示触客、面访、邀约的计划总数和达成情况，客户升温目标也一目了然。同时，助手还展示了“客户经营九宫格图”，帮助代理人直观了解不同温度和价值层级的客户分布，对整个月的经营节奏有了更清晰的把握。
代理人看完当月经营计划，想进一步查看具体需要经营的客户，语音输入：“查看要经营的客户”
助手推送当月经营客户列表，并提示：“已为您整理好本月客户经营清单，并根据每位客户的特点推荐了经营动作，您可以一键转发经营素材和参考话术，高效完成客户经营。”
代理人想起昨天预约了下周一拜访李平安，语音交代助手添加经营计划：“加多一条计划，下周一14点拜访李平安”
助手自动添加该条经营计划并提示：“已帮您添加下周一14点拜访李平安的计划”</t>
    </r>
  </si>
  <si>
    <t>每周初</t>
  </si>
  <si>
    <t>提醒本周经营计划，针对已经邀约的客户形成每天行事历</t>
  </si>
  <si>
    <r>
      <rPr>
        <b/>
        <sz val="11"/>
        <rFont val="华文楷体"/>
        <charset val="134"/>
      </rPr>
      <t xml:space="preserve">1、每周初提醒本周经营计划
</t>
    </r>
    <r>
      <rPr>
        <sz val="11"/>
        <rFont val="华文楷体"/>
        <charset val="134"/>
      </rPr>
      <t>周初第一天早会后，助手自动提醒：“本周共有7个经营计划需要完成，请查收。后续我会持续提醒您，帮您按时推进。”。同时，助手推送本周行事历。
周一：14:00 拜访李平安
周二：15:00 拜访张伟
周三：15:00 拜访王萍
周四：16:00 拜访赵高
周五：17:00 拜访崔丽
周六：14:00 拜访李霞、16:00 拜访王明</t>
    </r>
  </si>
  <si>
    <t>服务被动转主动：主动提醒每周经营计划，形成行事历</t>
  </si>
  <si>
    <t>销售转化促成
（分析客户需求、检视保障缺口、方案讲解、异议处理、签单、权益讲解）</t>
  </si>
  <si>
    <t>每天</t>
  </si>
  <si>
    <t>拜访前：提醒拜访客户，分析客户需求、测算保障缺口、推荐产品方案及权益讲解内容、测算销售利益、匹配销售攻略</t>
  </si>
  <si>
    <r>
      <rPr>
        <b/>
        <sz val="11"/>
        <rFont val="华文楷体"/>
        <charset val="134"/>
      </rPr>
      <t>1、提醒拜访客户</t>
    </r>
    <r>
      <rPr>
        <sz val="11"/>
        <rFont val="华文楷体"/>
        <charset val="134"/>
      </rPr>
      <t xml:space="preserve">
周一早会后，代理人打开口袋E，看到助手提醒：“今日14点要去拜访客户李平安。”
助手：“提前分析客户需求、准备产品方案，有助于提高促成概率。需要帮您定制一份产品方案吗？”</t>
    </r>
  </si>
  <si>
    <t>服务被动转主动：主动提醒拜访客户及提前准备拜访内容</t>
  </si>
  <si>
    <r>
      <rPr>
        <b/>
        <sz val="11"/>
        <rFont val="华文楷体"/>
        <charset val="134"/>
      </rPr>
      <t>2、分析客户需求</t>
    </r>
    <r>
      <rPr>
        <sz val="11"/>
        <rFont val="华文楷体"/>
        <charset val="134"/>
      </rPr>
      <t xml:space="preserve">
代理人语音输入：“好的，帮我给客户李平安定制一份产品方案”
助手自动调取客户信息，进行个性化需求分析：定位客户所在宫格、分析核心风险和保险需求：“李平安，45岁，属于社会中坚客群，面临资产贬值、养老储备不足的风险，重点需求是保财富、保养老”</t>
    </r>
  </si>
  <si>
    <t>对话即交易：对话式完成代理人为客户定制产品方案、测算销售利益的需求
闭环式成交：根据客户需求推荐产品方案、推动匹配销售攻略，推动从“分析”到“促成”的闭环。</t>
  </si>
  <si>
    <r>
      <rPr>
        <b/>
        <sz val="11"/>
        <rFont val="华文楷体"/>
        <charset val="134"/>
      </rPr>
      <t xml:space="preserve">3、测算保障缺口
</t>
    </r>
    <r>
      <rPr>
        <sz val="11"/>
        <rFont val="华文楷体"/>
        <charset val="134"/>
      </rPr>
      <t>助手分析客户目前的已有保障及缺口情况（按公司产品体系分为4大类8小类），同时结合客户授权的中银保信同业保障数据进行全方位分析：“结合客户内外部保险数据分析，李平安存在财富缺口80万，养老缺口180万”</t>
    </r>
  </si>
  <si>
    <r>
      <rPr>
        <b/>
        <sz val="11"/>
        <rFont val="华文楷体"/>
        <charset val="134"/>
      </rPr>
      <t xml:space="preserve">4、推荐产品方案及权益讲解内容
</t>
    </r>
    <r>
      <rPr>
        <sz val="11"/>
        <rFont val="华文楷体"/>
        <charset val="134"/>
      </rPr>
      <t>助手主动推荐多套产品方案：“根据客户需求及保险缺口，建议三套方案，优先推荐【平安添盈·臻享家医】产品方案，年交保费10万，3年交。预估客户60岁时财富保障可达80万。同时可享臻享家医服务，守护家人身体健康”
点击方案详情可查看产品亮点介绍和服务权益讲解内容哦~</t>
    </r>
  </si>
  <si>
    <r>
      <rPr>
        <b/>
        <sz val="11"/>
        <rFont val="华文楷体"/>
        <charset val="134"/>
      </rPr>
      <t>5、测算销售利益（含晋升差距、收入津贴提醒等）</t>
    </r>
    <r>
      <rPr>
        <sz val="11"/>
        <rFont val="华文楷体"/>
        <charset val="134"/>
      </rPr>
      <t xml:space="preserve">
代理人看完方案后，语音输入：“促成这个方案我的销售利益有多少？”
助手根据具体方案进行销售利益测算：“促成以上方案后，您可获得收入7500元（含首佣FYC6000元，销售津贴1500元）还差4500C即可满足晋级P4的累计FYC标准，还差4000C可达标金钻，加油！”</t>
    </r>
  </si>
  <si>
    <r>
      <rPr>
        <b/>
        <sz val="11"/>
        <rFont val="华文楷体"/>
        <charset val="134"/>
      </rPr>
      <t xml:space="preserve">6、匹配销售攻略
</t>
    </r>
    <r>
      <rPr>
        <sz val="11"/>
        <rFont val="华文楷体"/>
        <charset val="134"/>
      </rPr>
      <t>同时，助手还主动推送了触访邀转的销售攻略：“为了帮您促成销售，已根据客户画像为您生成适合李平安的个性化经营建议，助您高效沟通、顺利出单。”</t>
    </r>
  </si>
  <si>
    <t>1V1拜访客户（客户信息整理）</t>
  </si>
  <si>
    <t>拜访后：智能记录拜访信息、整理拜访总结、异议处理建议、更新客户档案、推荐拜访附近客户</t>
  </si>
  <si>
    <r>
      <t>1、智能记录拜访信息</t>
    </r>
    <r>
      <rPr>
        <sz val="11"/>
        <rFont val="华文楷体"/>
        <charset val="134"/>
      </rPr>
      <t xml:space="preserve">
下午14点，代理人准时到达李平安家里进行拜访。
完成拜访后，代理人打开口袋E语音输入：“刚刚拜访完客户李平安，聊得还挺顺利。一开始我们先寒暄了一下，客户说最近在考虑孩子的教育金问题，但又担心年金险太死板，钱放进去就拿不出来，不太敢买。我跟他说年金可以搭配万能账户，灵活性会好一些，他也点了点头，但还是有点犹豫。后来我进一步介绍了【平安添盈·臻享家医】方案，并结合客户孩子的成长路径做了演示，客户最终决定投保。幸好拜访前有先分析客户需求和定制专属方案，讲解方案的时候客户很认可。”
“聊的过程中还了解到，客户目前在香蜜湖有一套房产，名下有两辆车，一辆宝马、一辆特斯拉，家庭经济状况比较稳健，年收入120万左右。客户本人是公司合伙人，生日是9月12号，太太主要负责家庭理财和孩子教育支出。”</t>
    </r>
  </si>
  <si>
    <t>对话及交易：对话式完成记录拜访信息的需求
闭环式成交：通过拜访前提前分析客户，定制专属方案，成功促成交易</t>
  </si>
  <si>
    <r>
      <t xml:space="preserve">2、整理拜访总结
</t>
    </r>
    <r>
      <rPr>
        <sz val="11"/>
        <rFont val="华文楷体"/>
        <charset val="134"/>
      </rPr>
      <t>助手识别代理人录入的语音内容，自动提取关键信息并提示：“已为您记录拜访内容，正在为您生成拜访总结。”
几秒钟后，助手自动生成拜访报告：
“本次拜访重点沟通保财富和保养老的产品+服务方案。客户关注子女教育金储备，同时对养老规划有一定兴趣。
【客户关键信息】
* 居住地：深圳香蜜湖
* 年收入：约120万，家庭经济稳健
* 资产情况：名下一套房产（香蜜湖）、两辆车（宝马、特斯拉）
* 家庭结构：太太主理家庭理财，客户本人为公司合伙人
* 关注点：子女教育、养老规划
* 客户生日：9月12日（建议作为客户关怀节点）
通过方案介绍，成功促成客户投保【平安添盈·臻享家医】方案，建议后续跟进保单进度,，并结合生日节点开展客户关怀，增强客户粘性。”</t>
    </r>
  </si>
  <si>
    <t>被动服务转主动：自动生成拜访总结</t>
  </si>
  <si>
    <r>
      <rPr>
        <b/>
        <sz val="11"/>
        <rFont val="华文楷体"/>
        <charset val="134"/>
      </rPr>
      <t>3、异议处理建议</t>
    </r>
    <r>
      <rPr>
        <sz val="11"/>
        <rFont val="华文楷体"/>
        <charset val="134"/>
      </rPr>
      <t xml:space="preserve">
助手识别到拜访过程中客户的疑虑，在拜访报告中推送建议：“了解到李平安关注资金流动性问题，我为您准备了异议处理建议。”
*常见疑虑点：担心年金产品资金锁定时间太长
*对应话术：可以强调“年金类产品可以灵活设置领取年龄、领取期间、领取方式，可以根据孩子成长路径调整领取计划，孩子不用还可以用于自己的养老退休生活，按需灵活选择与变更，因需赋型，以变应变”
*案例参考：已有类似客户通过该方式实现教育金和养老金的双金储备与灵活使用</t>
    </r>
  </si>
  <si>
    <t>服务被动转主动：自动识别客户疑虑并推动异议处理建议</t>
  </si>
  <si>
    <r>
      <t xml:space="preserve">4、更新客户档案
</t>
    </r>
    <r>
      <rPr>
        <sz val="11"/>
        <rFont val="华文楷体"/>
        <charset val="134"/>
      </rPr>
      <t>助手推送提醒：“本次拜访信息及客户情况已整理完毕，是否更新到客户档案？”
代理人语音输入：“更新”
助手更新客户档案信息并提示：“已同步更新本次拜访信息及客户情况到李平安的客户档案”</t>
    </r>
  </si>
  <si>
    <t>闭环式成交：自动更新客户档案，形成“拜访→成交→再触达”的闭环</t>
  </si>
  <si>
    <r>
      <rPr>
        <b/>
        <sz val="11"/>
        <rFont val="华文楷体"/>
        <charset val="134"/>
      </rPr>
      <t>5、推荐拜访附近客户</t>
    </r>
    <r>
      <rPr>
        <sz val="11"/>
        <rFont val="华文楷体"/>
        <charset val="134"/>
      </rPr>
      <t xml:space="preserve">
助手识别到代理人当前位置，主动提醒附近可拜访客户：“您当前在福田区香蜜湖街道，附近还有两位客户，建议您安排拜访”
*李四（同小区，中温客户，关注子女教育金）
*王五（同商圈，高意向客户，已预约下次面谈）
代理人语音输入：“拜访王五”
助手：“好的，我先帮你分析王五的客户画像和沟通重点，方便您高效推进拜访。”</t>
    </r>
  </si>
  <si>
    <t>服务被动转主动：主动推荐附近客户，提升代理人现场拜访效率。</t>
  </si>
  <si>
    <t>团队经营分析辅导</t>
  </si>
  <si>
    <t>晚上：全组活动量分析及业绩追踪预警、辅助下属面谈</t>
  </si>
  <si>
    <r>
      <rPr>
        <b/>
        <sz val="11"/>
        <rFont val="华文楷体"/>
        <charset val="134"/>
      </rPr>
      <t>1、全组活动量分析及业绩追踪预警（主管）</t>
    </r>
    <r>
      <rPr>
        <sz val="11"/>
        <rFont val="华文楷体"/>
        <charset val="134"/>
      </rPr>
      <t xml:space="preserve">
晚上，主管打开口袋E。
助手主动提醒：“当前团队整体经营计划完成率50%，其中面访完成率30%，低于预期。有两位组员的面访偏少，建议重点关注。本月团队累计承保FYC2.1万，营业部排第4名。其中，已连钻2个月的李明本月尚未达钻，是否需要为您分析他的具体情况，看看问题出在哪里？”
【全组活动量数据看板】
【全组业绩追踪看板】</t>
    </r>
  </si>
  <si>
    <t>深度可视化：展示团队活动量与业绩看板，帮助主管清晰掌握团队经营状态</t>
  </si>
  <si>
    <r>
      <rPr>
        <b/>
        <sz val="11"/>
        <rFont val="华文楷体"/>
        <charset val="134"/>
      </rPr>
      <t>2、辅助下属面谈（主管）</t>
    </r>
    <r>
      <rPr>
        <sz val="11"/>
        <rFont val="华文楷体"/>
        <charset val="134"/>
      </rPr>
      <t xml:space="preserve">
主管语音输入：“需要，分析李明情况。”
助手快速分析并推荐：“李明本月面访完成率低于20%，建议加强面访技巧训练。”
【李明的详细画像与能力分析】
目标完成情况：触客完成率80%，面访仅完成20%，邀约转化率偏低
沟通表现分析：在“需求挖掘”和“方案呈现”环节表现较好，但在“异议处理”和“促成动作”上存在短板
助手：“为更好地帮助李明达标，建议您组织一次面谈，进行针对性辅导。已为您生成李明的面谈方案，请您查收”
代理人查看【面谈方案】
（1）当月目标：达钻（初佣≥3500元且寿险长险≥2件）
（2）提升建议：建议加强面访技巧训练
（3）提升训练：
* 学习课程：《如何高效完成客户面访》+《年金险沟通实战技巧》
* 实战演练：《实战演练：年金险方案客户促成及异议处理》</t>
    </r>
  </si>
  <si>
    <t>服务被动转主动：主动识别团队成员问题并提醒主管，生成面谈方案与提升建议，实现“智能分析+主动辅导”</t>
  </si>
  <si>
    <t>个人活动量管理和工作总结</t>
  </si>
  <si>
    <t>每周末</t>
  </si>
  <si>
    <t>形成周工作总结，提示薄弱环节</t>
  </si>
  <si>
    <r>
      <rPr>
        <b/>
        <sz val="11"/>
        <rFont val="华文楷体"/>
        <charset val="134"/>
      </rPr>
      <t>1、提醒做周工作总结</t>
    </r>
    <r>
      <rPr>
        <sz val="11"/>
        <rFont val="华文楷体"/>
        <charset val="134"/>
      </rPr>
      <t xml:space="preserve">
周末晚上8点，代理人结束一天的工作，打开口袋E APP。
助手主动提醒：“本周即将结束，已为您生成本周工作总结”
“本周共完成触客20次、面访6次，整体表现稳定；但邀约转化率仅为30%，低于团队平均水平。”</t>
    </r>
  </si>
  <si>
    <t>深度可视化：可视化展示触客、面访、邀约等关键数据，帮助代理人清晰了解本周表现。
服务被动转主动：主动提醒做工作总结、主动识别代理人薄弱环节并推送学习内容，主动提醒收入考核津贴并推荐经营客户。
对话及交易：对话式实现添加推荐客户到下周经营计划
闭环式成交：通过推荐学习内容、更新客户经营计划，推动代理人持续优化经营策略，形成成长闭环。</t>
  </si>
  <si>
    <r>
      <rPr>
        <b/>
        <sz val="11"/>
        <color theme="1"/>
        <rFont val="华文楷体"/>
        <charset val="134"/>
      </rPr>
      <t>2、提示薄弱环节</t>
    </r>
    <r>
      <rPr>
        <sz val="11"/>
        <color theme="1"/>
        <rFont val="华文楷体"/>
        <charset val="134"/>
      </rPr>
      <t xml:space="preserve">
助手继续分析：
“在本周的客户沟通中，您在‘促成动作’和‘异议处理’两个环节表现相对薄弱。”
“例如，在与客户李平安的沟通中，客户表达了对资金流动性的担忧，但您未能有效引导客户理解‘年金+万能账户’的灵活性，导致客户仍未明确下单。”</t>
    </r>
  </si>
  <si>
    <r>
      <rPr>
        <b/>
        <sz val="11"/>
        <color theme="1"/>
        <rFont val="华文楷体"/>
        <charset val="134"/>
      </rPr>
      <t>3、推送学习内容</t>
    </r>
    <r>
      <rPr>
        <sz val="11"/>
        <color theme="1"/>
        <rFont val="华文楷体"/>
        <charset val="134"/>
      </rPr>
      <t xml:space="preserve">
助手针对薄弱环节针对性推送学习内容：“为帮助您提升薄弱环节，我为您推荐以下学习内容与实战演练工具：”
* 学习课程：《如何高效完成客户面访》
* 实战演练：《实战演练：年金险方案客户促成及异议处理》
提示：您可点击进入实战演练，系统将根据您本周沟通的客户类型生成实战场景。</t>
    </r>
  </si>
  <si>
    <r>
      <rPr>
        <b/>
        <sz val="11"/>
        <color theme="1"/>
        <rFont val="华文楷体"/>
        <charset val="134"/>
      </rPr>
      <t>4、个人收入考核津贴提醒</t>
    </r>
    <r>
      <rPr>
        <sz val="11"/>
        <color theme="1"/>
        <rFont val="华文楷体"/>
        <charset val="134"/>
      </rPr>
      <t xml:space="preserve">
同时，助手识别到代理人距离销售津贴提档还差2000元，主动进行提醒：“若本月FYC新增2000元，则可多获得销售津贴1100元。为快速填补业绩差额，建议您销售1件2万的金越年金红26，为您筛选出3位高潜力客户，建议优先经营。您可以选择客户查看经营攻略”
* 张三：37岁、鸡娃精英。客户重视教育规划，金越年金红26可锁定未来教育金，适合“鸡娃家庭”的长期教育储备需求
* 李四：39岁、焦虑中年。客户家庭支出多，关注中长期财务安全，金越年金红26可提供稳定回报，助力养老储备与资产稳健增值
* 王五：44岁、焦虑中年。客户处于养老规划关键期，金越年金红26可提供稳定现金流，提前布局安心养老
助手建议：“是否帮您将这3位客户加入下周的拜访计划”
代理人：“好的”
助手自动将这3位客户加入代理人下周的拜访计划中</t>
    </r>
  </si>
  <si>
    <t>每月末</t>
  </si>
  <si>
    <t>形成月度工作复盘，总结亮点和需提升的技能</t>
  </si>
  <si>
    <r>
      <t>1、提醒做月度工作复盘</t>
    </r>
    <r>
      <rPr>
        <sz val="11"/>
        <color theme="1"/>
        <rFont val="华文楷体"/>
        <charset val="134"/>
      </rPr>
      <t xml:space="preserve">
月末晚上8点钟，助手主动提醒：“本月即将结束，已为您生成月度工作复盘报告”
助手快速整理代理人本月经营数据：
“本月您共完成触客50次，面访25次，邀约12次，整体表现稳步提升，超过了80%的代理人。”
“本月累计FYC：20000元，超额完成目标，太棒了！”
“本月重点推进了年金险与重疾险产品，成功签约3位高净值客户，客户画像匹配度较高。”</t>
    </r>
  </si>
  <si>
    <t>深度可视化：可视化展示触客、面访、邀约、FYC等关键指标，帮助代理人全面掌握月度表现。
服务被动转主动：主动提醒做阅读复盘、主动总结本月亮点、识别需提升的技能并推送提升计划
闭环式成交：总结亮点与短板，并推荐下月提升计划，推动代理人持续优化经营策略，形成成长闭环。</t>
  </si>
  <si>
    <r>
      <rPr>
        <b/>
        <sz val="11"/>
        <color theme="1"/>
        <rFont val="华文楷体"/>
        <charset val="134"/>
      </rPr>
      <t>2、总结本月亮点</t>
    </r>
    <r>
      <rPr>
        <sz val="11"/>
        <color theme="1"/>
        <rFont val="华文楷体"/>
        <charset val="134"/>
      </rPr>
      <t xml:space="preserve">
助手继续分析：“本月您的亮点包括：”
* 客户经营能力提升：成功签约3位高净值客户，客户画像匹配度高
* 面访转化率提升：面访转化率从上月20%提升至40%
* 学习完成度高：完成3门推荐课程，参与2次实战演练</t>
    </r>
  </si>
  <si>
    <r>
      <rPr>
        <b/>
        <sz val="11"/>
        <color theme="1"/>
        <rFont val="华文楷体"/>
        <charset val="134"/>
      </rPr>
      <t>3、识别需提升的技能</t>
    </r>
    <r>
      <rPr>
        <sz val="11"/>
        <color theme="1"/>
        <rFont val="华文楷体"/>
        <charset val="134"/>
      </rPr>
      <t xml:space="preserve">
助手识别代理人需提升的技能：“本月您在以下技能方面仍有提升空间：”
* 异议处理能力：客户提出流动性、收益性等常见问题时，回应不够精准
* 促成动作偏弱：客户意向明确时，未能及时推动客户决策
* 客户升温节奏把握不足：部分客户跟进间隔较长，影响转化效率</t>
    </r>
  </si>
  <si>
    <r>
      <rPr>
        <b/>
        <sz val="11"/>
        <color theme="1"/>
        <rFont val="华文楷体"/>
        <charset val="134"/>
      </rPr>
      <t>4、推送下月提升计划</t>
    </r>
    <r>
      <rPr>
        <sz val="11"/>
        <color theme="1"/>
        <rFont val="华文楷体"/>
        <charset val="134"/>
      </rPr>
      <t xml:space="preserve">
助手继续推送：“为帮助您在下月进一步提升，我为您推荐以下学习与实战内容：”
* 学习课程：《高净值客户沟通技巧》、《异议处理进阶实战》
* 实战演练：《实战演练：高净值客户年金险促成技巧》、《实战演练：重疾险异议处理与促成策略》</t>
    </r>
  </si>
  <si>
    <t>马总指导的对应关系</t>
  </si>
  <si>
    <t>功能配图（若有）</t>
  </si>
  <si>
    <t>上午</t>
  </si>
  <si>
    <t>每月最后一周，结合代理人经营数据盘点经营客户、生成重点经营计划（经营谁、拜访谁）、匹配动作指引（沟通话术、经营素材等）
每天提醒代理人完成经营计划；</t>
  </si>
  <si>
    <r>
      <rPr>
        <b/>
        <sz val="11"/>
        <rFont val="华文楷体"/>
        <charset val="134"/>
      </rPr>
      <t xml:space="preserve">1、月底提醒盘点客户
</t>
    </r>
    <r>
      <rPr>
        <sz val="11"/>
        <rFont val="华文楷体"/>
        <charset val="134"/>
      </rPr>
      <t>月底最后一周，代理人早会后打开口袋E APP。
助手主动提醒：“月底啦，记得完成下月客户盘点哦。”同时，助手自动推荐了精选客户名单，并附上清晰的推荐理由。
代理人查看精选客户名单，系统清晰展示每一位客户的核心画像和精选理由。
代理人语音输入：“帮我盘点全部推荐客户”。
助手自动帮助代理人完成所有推荐客户的盘点工作，并提示“已完成全部推荐客户盘点”。</t>
    </r>
  </si>
  <si>
    <r>
      <rPr>
        <b/>
        <sz val="11"/>
        <rFont val="华文楷体"/>
        <charset val="134"/>
      </rPr>
      <t xml:space="preserve">2、月初生成经营计划
</t>
    </r>
    <r>
      <rPr>
        <sz val="11"/>
        <rFont val="华文楷体"/>
        <charset val="134"/>
      </rPr>
      <t>月初第一天，代理人打开口袋E。
助手主动提醒：“新的一个月开始啦，已经为您生成当月经营计划，快来看一下。”</t>
    </r>
    <r>
      <rPr>
        <b/>
        <sz val="11"/>
        <rFont val="华文楷体"/>
        <charset val="134"/>
      </rPr>
      <t xml:space="preserve">
</t>
    </r>
    <r>
      <rPr>
        <sz val="11"/>
        <rFont val="华文楷体"/>
        <charset val="134"/>
      </rPr>
      <t>计划总览清晰展示触客、面访、邀约的计划总数和达成情况，客户升温目标也一目了然。同时，助手还展示了“客户经营九宫格图”，帮助代理人直观了解不同温度和价值层级的客户分布，对整个月的经营节奏有了更清晰的把握。
代理人想起了昨天预约了下周末拜访李平安，语音交代助手添加经营计划：“计划加多一条，下周六14点拜访李平安”
助手自动添加该条经营计划并提示：“已帮您添加好下周六14点拜访李平安的计划”</t>
    </r>
  </si>
  <si>
    <r>
      <rPr>
        <b/>
        <sz val="11"/>
        <rFont val="华文楷体"/>
        <charset val="134"/>
      </rPr>
      <t xml:space="preserve">3、根据计划匹配经营动作
</t>
    </r>
    <r>
      <rPr>
        <sz val="11"/>
        <rFont val="华文楷体"/>
        <charset val="134"/>
      </rPr>
      <t>代理人看完当月经营计划，想进一步查看具体需要经营的客户，语音输入：“查看要经营的客户”
助手推送当月经营客户列表，并提示：“已为您整理好本月客户经营清单，并根据每位客户的特点推荐了经营动作，您可以一键转发经营素材和参考话术，高效完成客户经营。”</t>
    </r>
  </si>
  <si>
    <r>
      <rPr>
        <b/>
        <sz val="11"/>
        <rFont val="华文楷体"/>
        <charset val="134"/>
      </rPr>
      <t xml:space="preserve">4、每日提醒完成经营计划
</t>
    </r>
    <r>
      <rPr>
        <sz val="11"/>
        <rFont val="华文楷体"/>
        <charset val="134"/>
      </rPr>
      <t>每天早会后，助手自动提醒：“今天还有5个经营计划需要完成，快来处理一下”。同时，助手推送待完成的经营计划及经营内容。
代理人一键转发推送的经营内容，高效完成经营计划。</t>
    </r>
  </si>
  <si>
    <t>针对转化阶段客户，拜访前结合客户信息个性化分析需求、测算保障缺口、推荐产品+服务方案及权益讲解内容、测算销售利益，并匹配销售攻略</t>
  </si>
  <si>
    <r>
      <rPr>
        <b/>
        <sz val="11"/>
        <rFont val="华文楷体"/>
        <charset val="134"/>
      </rPr>
      <t>1、分析客户需求</t>
    </r>
    <r>
      <rPr>
        <sz val="11"/>
        <rFont val="华文楷体"/>
        <charset val="134"/>
      </rPr>
      <t xml:space="preserve">
早会后，代理人打开口袋E，看到助手提醒今日14点要去拜访客户李平安。
助手提醒：“提前分析客户需求、准备产品方案，有助于提高促成机率。需要帮您定制一份产品方案吗？”
代理人语音输入：“好的，帮我给客户李平安定制一份保险方案”
助手自动调取客户信息，进行个性化需求分析：定位客户所在宫格、分析核心风险和保险需求：“李平安，45岁，属于社会中坚客群，面临资产贬值、养老储备不足的风险，重点需求是保财富、保养老”</t>
    </r>
  </si>
  <si>
    <r>
      <rPr>
        <b/>
        <sz val="11"/>
        <rFont val="华文楷体"/>
        <charset val="134"/>
      </rPr>
      <t xml:space="preserve">2、测算保障缺口
</t>
    </r>
    <r>
      <rPr>
        <sz val="11"/>
        <rFont val="华文楷体"/>
        <charset val="134"/>
      </rPr>
      <t>助手分析客户目前的已有保障及缺口情况（按公司产品体系分为4大类8小类），同时结合客户授权的中银保信同业保障数据进行全方位分析：“结合客户内外部保险数据分析，李平安存在财富缺口80万，养老缺口180万”</t>
    </r>
  </si>
  <si>
    <r>
      <rPr>
        <b/>
        <sz val="11"/>
        <rFont val="华文楷体"/>
        <charset val="134"/>
      </rPr>
      <t xml:space="preserve">3、推荐产品方案及权益讲解内容
</t>
    </r>
    <r>
      <rPr>
        <sz val="11"/>
        <rFont val="华文楷体"/>
        <charset val="134"/>
      </rPr>
      <t>助手主动推荐多套产品方案：“根据客户需求及保险缺口，建议三套方案，优先推荐【平安添盈·臻享家医】产品方案，年交保费10万，3年交。预估客户60岁时财富保障可达80万。同时可享臻享家医服务，守护家人身体健康”
点击方案详情可查看产品亮点介绍和服务权益讲解内容哦~</t>
    </r>
  </si>
  <si>
    <r>
      <rPr>
        <b/>
        <sz val="11"/>
        <rFont val="华文楷体"/>
        <charset val="134"/>
      </rPr>
      <t>4、测算销售利益（含晋升差距、收入津贴提醒等）</t>
    </r>
    <r>
      <rPr>
        <sz val="11"/>
        <rFont val="华文楷体"/>
        <charset val="134"/>
      </rPr>
      <t xml:space="preserve">
代理人看完方案后，语音输入：“促成这个方案我的销售利益有多少？”
助手根据具体方案进行销售利益测算：“促成以上方案后，您可获得收入7500元（含首佣FYC6000元，销售津贴1500元）还差4500C即可满足晋级P4的累计FYC标准，还差4000C可达标金钻，加油哦”</t>
    </r>
  </si>
  <si>
    <r>
      <rPr>
        <b/>
        <sz val="11"/>
        <rFont val="华文楷体"/>
        <charset val="134"/>
      </rPr>
      <t xml:space="preserve">5、匹配销售攻略
</t>
    </r>
    <r>
      <rPr>
        <sz val="11"/>
        <rFont val="华文楷体"/>
        <charset val="134"/>
      </rPr>
      <t>同时，助手还主动推送了触访邀转的销售攻略：“为了帮您促成销售，已根据客户画像为您生成适合李平安的个性化经营建议，助您高效沟通、顺利出单。”</t>
    </r>
  </si>
  <si>
    <t>下午</t>
  </si>
  <si>
    <t>拜访后，智能记录拜访信息、整理拜访总结、更新客户档案，结合客户的个性化疑虑提供异议处理建议，并根据位置智能推荐拜访附近客户</t>
  </si>
  <si>
    <r>
      <rPr>
        <b/>
        <sz val="11"/>
        <rFont val="华文楷体"/>
        <charset val="134"/>
      </rPr>
      <t>1、智能记录拜访信息</t>
    </r>
    <r>
      <rPr>
        <sz val="11"/>
        <rFont val="华文楷体"/>
        <charset val="134"/>
      </rPr>
      <t xml:space="preserve">
下午14点，代理人准时到达李平安家里。
在客户同意的前提下，代理人开启拜访录音功能。
助手自动识别录音内容，并进行智能分析和整理。</t>
    </r>
  </si>
  <si>
    <r>
      <rPr>
        <b/>
        <sz val="11"/>
        <rFont val="华文楷体"/>
        <charset val="134"/>
      </rPr>
      <t xml:space="preserve">2、整理拜访总结
</t>
    </r>
    <r>
      <rPr>
        <sz val="11"/>
        <rFont val="华文楷体"/>
        <charset val="134"/>
      </rPr>
      <t>拜访结束后，助手自动生成拜访报告：
“本次拜访重点沟通了保财富和保养老的产品+服务方案。客户平时对孩子投入比较多，重点关注教育金储备，同时也对养老金表现出一定兴趣。”</t>
    </r>
  </si>
  <si>
    <r>
      <rPr>
        <b/>
        <sz val="11"/>
        <rFont val="华文楷体"/>
        <charset val="134"/>
      </rPr>
      <t>3、异议处理建议</t>
    </r>
    <r>
      <rPr>
        <sz val="11"/>
        <rFont val="华文楷体"/>
        <charset val="134"/>
      </rPr>
      <t xml:space="preserve">
助手识别到拜访过程中客户的疑虑，在拜访报告中推送建议：“了解到李平安关注资金流动性问题，我为您准备了异议处理建议，方便后续跟进。”
*常见疑虑点：担心年金产品资金锁定时间太长
*对应话术：可以强调‘年金类产品可以灵活设置领取年龄、领取期间、领取方式，可以根据孩子成长路径调整领取计划，孩子不用都还可以用于自己的养老退休生活，按需灵活选择与变更，因需赋型，以变应变”
*案例参考：已有类似客户通过该方式实现教育金和养老金的双金储备与灵活使用</t>
    </r>
  </si>
  <si>
    <r>
      <rPr>
        <b/>
        <sz val="11"/>
        <rFont val="华文楷体"/>
        <charset val="134"/>
      </rPr>
      <t xml:space="preserve">4、更新客户档案
</t>
    </r>
    <r>
      <rPr>
        <sz val="11"/>
        <rFont val="华文楷体"/>
        <charset val="134"/>
      </rPr>
      <t>助手推送提醒：“本次拜访信息已整理完毕，是否更新到客户档案？”
代理人语音输入：“更新”
助手更新客户档案信息“已同步更新本次拜访信息到李平安的客户档案”</t>
    </r>
  </si>
  <si>
    <t>个人活动量管理和团队经营分析辅导</t>
  </si>
  <si>
    <t>晚上</t>
  </si>
  <si>
    <t>对个人，结合代理人每日工作情况，提供经营拜访小结及后续经营指引；</t>
  </si>
  <si>
    <r>
      <rPr>
        <b/>
        <sz val="11"/>
        <rFont val="华文楷体"/>
        <charset val="134"/>
      </rPr>
      <t>1、经营工作总结（个人）</t>
    </r>
    <r>
      <rPr>
        <sz val="11"/>
        <rFont val="华文楷体"/>
        <charset val="134"/>
      </rPr>
      <t xml:space="preserve">
晚上，代理人结束一天的工作，打开口袋E。
助手主动提醒：“今天完成了3次触客、2次面访，整体表现不错哦～已为您生成今日经营小结和后续经营指引”</t>
    </r>
  </si>
  <si>
    <r>
      <rPr>
        <b/>
        <sz val="11"/>
        <rFont val="华文楷体"/>
        <charset val="134"/>
      </rPr>
      <t xml:space="preserve">2、个人收入考核津贴提醒（个人）
</t>
    </r>
    <r>
      <rPr>
        <sz val="11"/>
        <rFont val="华文楷体"/>
        <charset val="134"/>
      </rPr>
      <t>同时，助手识别到代理人距离销售津贴提档还差2000元，主动进行提醒：“若本月FYC新增2000元，则可多获得销售津贴1100元。为快速填补业绩差额，建议您销售1件2万的金越年金红26，为您筛选出3位高潜力客户，建议优先经营。您可以选择客户查看经营攻略”
* 张三：37岁、鸡娃精英。客户重视教育规划，金越年金红26可锁定未来教育金，适合“鸡娃家庭”的长期教育储备需求
* 李四：39岁、焦虑中年。客户家庭支出多，关注中长期财务安全，金越年金红26可提供稳定回报，助力养老储备与资产稳健增值
* 王五：44岁、焦虑中年。客户处于养老规划关键期，金越年金红26可提供稳定现金流，提前布局安心养老
助手建议：“是否帮您将这3位客户加入明天的拜访计划”
代理人：“好的”
助手自动将这3位客户加入代理人明天的拜访计划中</t>
    </r>
  </si>
  <si>
    <t>对主管，提供全组活动量情况分析，针对需要辅导组员推送学习课程、实战演练；</t>
  </si>
  <si>
    <r>
      <rPr>
        <b/>
        <sz val="11"/>
        <rFont val="华文楷体"/>
        <charset val="134"/>
      </rPr>
      <t>1、全组活动量分析及业绩追踪预警（主管）</t>
    </r>
    <r>
      <rPr>
        <sz val="11"/>
        <rFont val="华文楷体"/>
        <charset val="134"/>
      </rPr>
      <t xml:space="preserve">
晚上，主管打开口袋E。
助手主动提醒：“当前团队整体经营计划完成率50%，其中面访完成率30%，低于预期。有两位组员的面访偏少，建议重点关注。本月团队累计承保FYC2.1万，营业部排第4名。其中，已连钻2月的李明本月尚未达钻，是否需要为您分析他的具体情况，看看问题出在哪里？”
【全组活动量数据看板】
【全组业绩追踪看板】</t>
    </r>
  </si>
  <si>
    <r>
      <rPr>
        <b/>
        <sz val="11"/>
        <rFont val="华文楷体"/>
        <charset val="134"/>
      </rPr>
      <t>2、团队成员画像与能力分析（主管）</t>
    </r>
    <r>
      <rPr>
        <sz val="11"/>
        <rFont val="华文楷体"/>
        <charset val="134"/>
      </rPr>
      <t xml:space="preserve">
主管语音输入：“需要，分析李明情况。”
助手快速分析并推荐：“李明本月面访完成率低于20%，建议加强面访技巧训练。”
【李明的详细画像与能力分析】
目标完成情况：触客完成率80%，面访仅完成20%，邀约转化率偏低
沟通表现分析：在“需求挖掘”和“方案呈现”环节表现较好，但在“异议处理”和“促成动作”上存在短板
助手：“为更好地帮助李明达标，建议您组织一次面谈，进行针对性辅导。已为您生成李明的面谈方案，请您查收”</t>
    </r>
  </si>
  <si>
    <r>
      <rPr>
        <b/>
        <sz val="11"/>
        <rFont val="华文楷体"/>
        <charset val="134"/>
      </rPr>
      <t>3、辅助下属面谈（主管）</t>
    </r>
    <r>
      <rPr>
        <sz val="11"/>
        <rFont val="华文楷体"/>
        <charset val="134"/>
      </rPr>
      <t xml:space="preserve">
代理人查看面谈方案
【面谈方案】
（1）当月目标：达钻（初佣≥3500元且寿险长险≥2件）
（2）提升建议：建议加强面访技巧训练
（3）提升训练：
* 学习课程：《如何高效完成客户面访》+《年金险沟通实战技巧》
* 实战演练：《实战演练：年金险方案客户促成及异议处理》</t>
    </r>
  </si>
  <si>
    <t>人群</t>
  </si>
  <si>
    <t>关键场景</t>
  </si>
  <si>
    <t>代理人</t>
  </si>
  <si>
    <t>推荐经营目标安排经营计划</t>
  </si>
  <si>
    <t>个性化客户分析方案定制</t>
  </si>
  <si>
    <t>一客一策档案整理</t>
  </si>
  <si>
    <t>个人收入考核津贴提醒</t>
  </si>
  <si>
    <t>主管</t>
  </si>
  <si>
    <t>团队画像及能力分析</t>
  </si>
  <si>
    <t>团队活动量管理与业绩追踪预警</t>
  </si>
  <si>
    <t>辅助下属面谈</t>
  </si>
  <si>
    <t>分公司内勤工作梳理</t>
  </si>
  <si>
    <t>AI赋能评估</t>
  </si>
  <si>
    <t>场景</t>
  </si>
  <si>
    <t>工作项L1</t>
  </si>
  <si>
    <t>工作项L2</t>
  </si>
  <si>
    <t>工作项L3</t>
  </si>
  <si>
    <t>工作流程L4(操作流程)</t>
  </si>
  <si>
    <t>角色</t>
  </si>
  <si>
    <t>频次</t>
  </si>
  <si>
    <t>AI赋能</t>
  </si>
  <si>
    <t>可赋能程度</t>
  </si>
  <si>
    <t>时间</t>
  </si>
  <si>
    <t>普通代理人的一天
（假设一天工作12小时）</t>
  </si>
  <si>
    <t>工作时间</t>
  </si>
  <si>
    <t>主管的一天</t>
  </si>
  <si>
    <t>销售</t>
  </si>
  <si>
    <t>增员</t>
  </si>
  <si>
    <t>培训</t>
  </si>
  <si>
    <t>管理</t>
  </si>
  <si>
    <t>管理（个人管理）</t>
  </si>
  <si>
    <t>管理（团队管理）</t>
  </si>
  <si>
    <t>-个人管理</t>
  </si>
  <si>
    <t>-团队管理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</si>
</sst>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0_ "/>
  </numFmts>
  <fonts count="11">
    <font>
      <sz val="11"/>
      <color theme="1"/>
      <name val="宋体"/>
      <charset val="134"/>
      <scheme val="minor"/>
    </font>
    <font>
      <b/>
      <sz val="11"/>
      <color theme="1"/>
      <name val="宋体"/>
      <family val="3"/>
      <charset val="134"/>
      <scheme val="minor"/>
    </font>
    <font>
      <sz val="11"/>
      <color theme="1"/>
      <name val="华文楷体"/>
      <charset val="134"/>
    </font>
    <font>
      <b/>
      <sz val="16"/>
      <color theme="1"/>
      <name val="华文楷体"/>
      <charset val="134"/>
    </font>
    <font>
      <b/>
      <sz val="11"/>
      <color theme="1"/>
      <name val="华文楷体"/>
      <charset val="134"/>
    </font>
    <font>
      <sz val="11"/>
      <color rgb="FFFF0000"/>
      <name val="华文楷体"/>
      <charset val="134"/>
    </font>
    <font>
      <sz val="11"/>
      <color rgb="FF0070C0"/>
      <name val="华文楷体"/>
      <charset val="134"/>
    </font>
    <font>
      <sz val="11"/>
      <name val="华文楷体"/>
      <charset val="134"/>
    </font>
    <font>
      <b/>
      <sz val="11"/>
      <name val="华文楷体"/>
      <charset val="134"/>
    </font>
    <font>
      <b/>
      <sz val="11"/>
      <color rgb="FFFF0000"/>
      <name val="华文楷体"/>
      <charset val="134"/>
    </font>
    <font>
      <sz val="9"/>
      <name val="宋体"/>
      <family val="3"/>
      <charset val="134"/>
      <scheme val="minor"/>
    </font>
  </fonts>
  <fills count="5">
    <fill>
      <patternFill patternType="none"/>
    </fill>
    <fill>
      <patternFill patternType="gray125"/>
    </fill>
    <fill>
      <patternFill patternType="solid">
        <fgColor theme="4" tint="0.79995117038483843"/>
        <bgColor indexed="64"/>
      </patternFill>
    </fill>
    <fill>
      <patternFill patternType="solid">
        <fgColor rgb="FFFFC000"/>
        <bgColor indexed="64"/>
      </patternFill>
    </fill>
    <fill>
      <patternFill patternType="solid">
        <fgColor theme="6"/>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alignment vertical="center"/>
    </xf>
  </cellStyleXfs>
  <cellXfs count="40">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180" fontId="0" fillId="0" borderId="0" xfId="0" applyNumberFormat="1" applyAlignment="1">
      <alignment horizontal="center" vertical="center"/>
    </xf>
    <xf numFmtId="180" fontId="0" fillId="0" borderId="0" xfId="0" applyNumberFormat="1" applyAlignment="1">
      <alignment horizontal="right" vertical="center"/>
    </xf>
    <xf numFmtId="0" fontId="1" fillId="0" borderId="0" xfId="0" applyFont="1">
      <alignment vertical="center"/>
    </xf>
    <xf numFmtId="0" fontId="2" fillId="0" borderId="0" xfId="0" applyFont="1">
      <alignment vertical="center"/>
    </xf>
    <xf numFmtId="0" fontId="0" fillId="0" borderId="0" xfId="0" applyAlignment="1">
      <alignment horizontal="left" vertical="center" wrapText="1"/>
    </xf>
    <xf numFmtId="0" fontId="4" fillId="2" borderId="1" xfId="0" applyFont="1" applyFill="1" applyBorder="1">
      <alignment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lignment vertical="center"/>
    </xf>
    <xf numFmtId="0" fontId="5" fillId="0" borderId="1" xfId="0" applyFont="1" applyBorder="1" applyAlignment="1">
      <alignment horizontal="center" vertical="center"/>
    </xf>
    <xf numFmtId="0" fontId="2"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wrapText="1"/>
    </xf>
    <xf numFmtId="0" fontId="2" fillId="3" borderId="1" xfId="0" applyFont="1" applyFill="1" applyBorder="1">
      <alignment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0" xfId="0" quotePrefix="1" applyAlignment="1">
      <alignment horizontal="right" vertical="center"/>
    </xf>
    <xf numFmtId="0" fontId="2" fillId="4"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a:latin typeface="微软雅黑" panose="020B0503020204020204" charset="-122"/>
                <a:ea typeface="微软雅黑" panose="020B0503020204020204" charset="-122"/>
                <a:cs typeface="微软雅黑" panose="020B0503020204020204" charset="-122"/>
                <a:sym typeface="微软雅黑" panose="020B0503020204020204" charset="-122"/>
              </a:rPr>
              <a:t>代理人的一天</a:t>
            </a:r>
          </a:p>
        </c:rich>
      </c:tx>
      <c:layout>
        <c:manualLayout>
          <c:xMode val="edge"/>
          <c:yMode val="edge"/>
          <c:x val="0.38327550312283098"/>
          <c:y val="6.6589057043073302E-2"/>
        </c:manualLayout>
      </c:layout>
      <c:overlay val="0"/>
      <c:spPr>
        <a:noFill/>
        <a:ln>
          <a:noFill/>
        </a:ln>
        <a:effectLst/>
      </c:spPr>
      <c:txPr>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title>
    <c:autoTitleDeleted val="0"/>
    <c:plotArea>
      <c:layout/>
      <c:pieChart>
        <c:varyColors val="1"/>
        <c:ser>
          <c:idx val="0"/>
          <c:order val="0"/>
          <c:tx>
            <c:strRef>
              <c:f>数据汇总!$E$1</c:f>
              <c:strCache>
                <c:ptCount val="1"/>
                <c:pt idx="0">
                  <c:v>工作时间</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A545-F744-B9E2-BFA69E6186F3}"/>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A545-F744-B9E2-BFA69E6186F3}"/>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A545-F744-B9E2-BFA69E6186F3}"/>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A545-F744-B9E2-BFA69E6186F3}"/>
              </c:ext>
            </c:extLst>
          </c:dPt>
          <c:dLbls>
            <c:dLbl>
              <c:idx val="0"/>
              <c:layout>
                <c:manualLayout>
                  <c:x val="-0.17260766746152201"/>
                  <c:y val="1.3809185132080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545-F744-B9E2-BFA69E6186F3}"/>
                </c:ext>
              </c:extLst>
            </c:dLbl>
            <c:dLbl>
              <c:idx val="3"/>
              <c:layout>
                <c:manualLayout>
                  <c:x val="7.3689616448529199E-2"/>
                  <c:y val="0.1662458386603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545-F744-B9E2-BFA69E6186F3}"/>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数据汇总!$D$2:$D$5</c:f>
              <c:strCache>
                <c:ptCount val="4"/>
                <c:pt idx="0">
                  <c:v>销售</c:v>
                </c:pt>
                <c:pt idx="1">
                  <c:v>增员</c:v>
                </c:pt>
                <c:pt idx="2">
                  <c:v>培训</c:v>
                </c:pt>
                <c:pt idx="3">
                  <c:v>管理（个人管理）</c:v>
                </c:pt>
              </c:strCache>
            </c:strRef>
          </c:cat>
          <c:val>
            <c:numRef>
              <c:f>数据汇总!$E$2:$E$5</c:f>
              <c:numCache>
                <c:formatCode>0.0_ </c:formatCode>
                <c:ptCount val="4"/>
                <c:pt idx="0">
                  <c:v>5.3473893091901301</c:v>
                </c:pt>
                <c:pt idx="1">
                  <c:v>2.3812476745628199</c:v>
                </c:pt>
                <c:pt idx="2">
                  <c:v>2.3217164826987502</c:v>
                </c:pt>
                <c:pt idx="3">
                  <c:v>1.94964653354831</c:v>
                </c:pt>
              </c:numCache>
            </c:numRef>
          </c:val>
          <c:extLst>
            <c:ext xmlns:c16="http://schemas.microsoft.com/office/drawing/2014/chart" uri="{C3380CC4-5D6E-409C-BE32-E72D297353CC}">
              <c16:uniqueId val="{00000008-A545-F744-B9E2-BFA69E6186F3}"/>
            </c:ext>
          </c:extLst>
        </c:ser>
        <c:dLbls>
          <c:showLegendKey val="0"/>
          <c:showVal val="1"/>
          <c:showCatName val="1"/>
          <c:showSerName val="0"/>
          <c:showPercent val="1"/>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1216679e-ae76-4919-af69-78f7e55bb7e7}"/>
      </c:ext>
    </c:extLst>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a:latin typeface="微软雅黑" panose="020B0503020204020204" charset="-122"/>
                <a:ea typeface="微软雅黑" panose="020B0503020204020204" charset="-122"/>
                <a:cs typeface="微软雅黑" panose="020B0503020204020204" charset="-122"/>
                <a:sym typeface="微软雅黑" panose="020B0503020204020204" charset="-122"/>
              </a:rPr>
              <a:t>主管的一天</a:t>
            </a:r>
          </a:p>
        </c:rich>
      </c:tx>
      <c:layout>
        <c:manualLayout>
          <c:xMode val="edge"/>
          <c:yMode val="edge"/>
          <c:x val="0.38327550312283098"/>
          <c:y val="6.6589057043073302E-2"/>
        </c:manualLayout>
      </c:layout>
      <c:overlay val="0"/>
      <c:spPr>
        <a:noFill/>
        <a:ln>
          <a:noFill/>
        </a:ln>
        <a:effectLst/>
      </c:spPr>
      <c:txPr>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title>
    <c:autoTitleDeleted val="0"/>
    <c:plotArea>
      <c:layout/>
      <c:pieChart>
        <c:varyColors val="1"/>
        <c:ser>
          <c:idx val="0"/>
          <c:order val="0"/>
          <c:tx>
            <c:strRef>
              <c:f>数据汇总!$H$1</c:f>
              <c:strCache>
                <c:ptCount val="1"/>
                <c:pt idx="0">
                  <c:v>工作时间</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BA65-F547-9C0B-B256C6E840CA}"/>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BA65-F547-9C0B-B256C6E840CA}"/>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BA65-F547-9C0B-B256C6E840CA}"/>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BA65-F547-9C0B-B256C6E840CA}"/>
              </c:ext>
            </c:extLst>
          </c:dPt>
          <c:dLbls>
            <c:dLbl>
              <c:idx val="0"/>
              <c:layout>
                <c:manualLayout>
                  <c:x val="-0.13380368075055801"/>
                  <c:y val="1.247610571863519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A65-F547-9C0B-B256C6E840CA}"/>
                </c:ext>
              </c:extLst>
            </c:dLbl>
            <c:dLbl>
              <c:idx val="3"/>
              <c:layout>
                <c:manualLayout>
                  <c:x val="0.14405193289007601"/>
                  <c:y val="0.17976874682211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A65-F547-9C0B-B256C6E840CA}"/>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数据汇总!$G$2:$G$5</c:f>
              <c:strCache>
                <c:ptCount val="4"/>
                <c:pt idx="0">
                  <c:v>销售</c:v>
                </c:pt>
                <c:pt idx="1">
                  <c:v>增员</c:v>
                </c:pt>
                <c:pt idx="2">
                  <c:v>培训</c:v>
                </c:pt>
                <c:pt idx="3">
                  <c:v>管理（团队管理）</c:v>
                </c:pt>
              </c:strCache>
            </c:strRef>
          </c:cat>
          <c:val>
            <c:numRef>
              <c:f>数据汇总!$H$2:$H$5</c:f>
              <c:numCache>
                <c:formatCode>0.0_ </c:formatCode>
                <c:ptCount val="4"/>
                <c:pt idx="0">
                  <c:v>4.88124080153968</c:v>
                </c:pt>
                <c:pt idx="1">
                  <c:v>2.1736669308275798</c:v>
                </c:pt>
                <c:pt idx="2">
                  <c:v>2.1193252575568899</c:v>
                </c:pt>
                <c:pt idx="3">
                  <c:v>2.8257670100758498</c:v>
                </c:pt>
              </c:numCache>
            </c:numRef>
          </c:val>
          <c:extLst>
            <c:ext xmlns:c16="http://schemas.microsoft.com/office/drawing/2014/chart" uri="{C3380CC4-5D6E-409C-BE32-E72D297353CC}">
              <c16:uniqueId val="{00000008-BA65-F547-9C0B-B256C6E840CA}"/>
            </c:ext>
          </c:extLst>
        </c:ser>
        <c:dLbls>
          <c:showLegendKey val="0"/>
          <c:showVal val="1"/>
          <c:showCatName val="0"/>
          <c:showSerName val="0"/>
          <c:showPercent val="1"/>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be9eb8af-382e-4a1f-ae53-b9b82aa59c9c}"/>
      </c:ext>
    </c:extLst>
  </c:chart>
  <c:spPr>
    <a:solidFill>
      <a:schemeClr val="bg1"/>
    </a:solidFill>
    <a:ln w="9525" cap="flat" cmpd="sng" algn="ctr">
      <a:solidFill>
        <a:schemeClr val="tx1">
          <a:lumMod val="15000"/>
          <a:lumOff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349250</xdr:colOff>
      <xdr:row>9</xdr:row>
      <xdr:rowOff>157480</xdr:rowOff>
    </xdr:from>
    <xdr:to>
      <xdr:col>4</xdr:col>
      <xdr:colOff>826135</xdr:colOff>
      <xdr:row>29</xdr:row>
      <xdr:rowOff>82550</xdr:rowOff>
    </xdr:to>
    <xdr:graphicFrame macro="">
      <xdr:nvGraphicFramePr>
        <xdr:cNvPr id="2" name="图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10160</xdr:colOff>
      <xdr:row>9</xdr:row>
      <xdr:rowOff>136525</xdr:rowOff>
    </xdr:from>
    <xdr:to>
      <xdr:col>10</xdr:col>
      <xdr:colOff>197485</xdr:colOff>
      <xdr:row>29</xdr:row>
      <xdr:rowOff>46355</xdr:rowOff>
    </xdr:to>
    <xdr:graphicFrame macro="">
      <xdr:nvGraphicFramePr>
        <xdr:cNvPr id="3" name="图表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C1" workbookViewId="0">
      <pane ySplit="2" topLeftCell="A22" activePane="bottomLeft" state="frozen"/>
      <selection pane="bottomLeft" activeCell="E13" sqref="E13"/>
    </sheetView>
  </sheetViews>
  <sheetFormatPr baseColWidth="10" defaultColWidth="8.83203125" defaultRowHeight="14"/>
  <cols>
    <col min="1" max="1" width="22.1640625" customWidth="1"/>
    <col min="2" max="2" width="7.1640625" customWidth="1"/>
    <col min="3" max="3" width="27.5" customWidth="1"/>
    <col min="4" max="4" width="103.5" customWidth="1"/>
    <col min="5" max="5" width="34.83203125" style="25" customWidth="1"/>
  </cols>
  <sheetData>
    <row r="1" spans="1:5">
      <c r="A1" s="29" t="s">
        <v>0</v>
      </c>
      <c r="B1" s="29" t="s">
        <v>1</v>
      </c>
      <c r="C1" s="29"/>
      <c r="D1" s="29"/>
    </row>
    <row r="2" spans="1:5" ht="15">
      <c r="A2" s="29"/>
      <c r="B2" s="19" t="s">
        <v>2</v>
      </c>
      <c r="C2" s="18" t="s">
        <v>3</v>
      </c>
      <c r="D2" s="20" t="s">
        <v>4</v>
      </c>
      <c r="E2" s="26" t="s">
        <v>5</v>
      </c>
    </row>
    <row r="3" spans="1:5" ht="90">
      <c r="A3" s="30" t="s">
        <v>6</v>
      </c>
      <c r="B3" s="33" t="s">
        <v>7</v>
      </c>
      <c r="C3" s="30" t="s">
        <v>8</v>
      </c>
      <c r="D3" s="22" t="s">
        <v>9</v>
      </c>
      <c r="E3" s="34" t="s">
        <v>10</v>
      </c>
    </row>
    <row r="4" spans="1:5" ht="150">
      <c r="A4" s="31"/>
      <c r="B4" s="33"/>
      <c r="C4" s="31"/>
      <c r="D4" s="22" t="s">
        <v>11</v>
      </c>
      <c r="E4" s="35"/>
    </row>
    <row r="5" spans="1:5" ht="135">
      <c r="A5" s="31"/>
      <c r="B5" s="26" t="s">
        <v>12</v>
      </c>
      <c r="C5" s="21" t="s">
        <v>13</v>
      </c>
      <c r="D5" s="22" t="s">
        <v>14</v>
      </c>
      <c r="E5" s="14" t="s">
        <v>15</v>
      </c>
    </row>
    <row r="6" spans="1:5" ht="45">
      <c r="A6" s="30" t="s">
        <v>16</v>
      </c>
      <c r="B6" s="31" t="s">
        <v>17</v>
      </c>
      <c r="C6" s="30" t="s">
        <v>18</v>
      </c>
      <c r="D6" s="23" t="s">
        <v>19</v>
      </c>
      <c r="E6" s="14" t="s">
        <v>20</v>
      </c>
    </row>
    <row r="7" spans="1:5" ht="60">
      <c r="A7" s="31"/>
      <c r="B7" s="31"/>
      <c r="C7" s="31"/>
      <c r="D7" s="23" t="s">
        <v>21</v>
      </c>
      <c r="E7" s="34" t="s">
        <v>22</v>
      </c>
    </row>
    <row r="8" spans="1:5" ht="45">
      <c r="A8" s="31"/>
      <c r="B8" s="31"/>
      <c r="C8" s="31"/>
      <c r="D8" s="23" t="s">
        <v>23</v>
      </c>
      <c r="E8" s="36"/>
    </row>
    <row r="9" spans="1:5" ht="60">
      <c r="A9" s="31"/>
      <c r="B9" s="31"/>
      <c r="C9" s="31"/>
      <c r="D9" s="23" t="s">
        <v>24</v>
      </c>
      <c r="E9" s="36"/>
    </row>
    <row r="10" spans="1:5" ht="60">
      <c r="A10" s="31"/>
      <c r="B10" s="31"/>
      <c r="C10" s="31"/>
      <c r="D10" s="23" t="s">
        <v>25</v>
      </c>
      <c r="E10" s="36"/>
    </row>
    <row r="11" spans="1:5" ht="45">
      <c r="A11" s="32"/>
      <c r="B11" s="31"/>
      <c r="C11" s="32"/>
      <c r="D11" s="23" t="s">
        <v>26</v>
      </c>
      <c r="E11" s="35"/>
    </row>
    <row r="12" spans="1:5" ht="120">
      <c r="A12" s="30" t="s">
        <v>27</v>
      </c>
      <c r="B12" s="31"/>
      <c r="C12" s="31" t="s">
        <v>28</v>
      </c>
      <c r="D12" s="23" t="s">
        <v>29</v>
      </c>
      <c r="E12" s="11" t="s">
        <v>30</v>
      </c>
    </row>
    <row r="13" spans="1:5" ht="195">
      <c r="A13" s="31"/>
      <c r="B13" s="31"/>
      <c r="C13" s="31"/>
      <c r="D13" s="23" t="s">
        <v>31</v>
      </c>
      <c r="E13" s="11" t="s">
        <v>32</v>
      </c>
    </row>
    <row r="14" spans="1:5" ht="105">
      <c r="A14" s="31"/>
      <c r="B14" s="31"/>
      <c r="C14" s="31"/>
      <c r="D14" s="23" t="s">
        <v>33</v>
      </c>
      <c r="E14" s="14" t="s">
        <v>34</v>
      </c>
    </row>
    <row r="15" spans="1:5" ht="60">
      <c r="A15" s="31"/>
      <c r="B15" s="31"/>
      <c r="C15" s="31"/>
      <c r="D15" s="23" t="s">
        <v>35</v>
      </c>
      <c r="E15" s="14" t="s">
        <v>36</v>
      </c>
    </row>
    <row r="16" spans="1:5" ht="90">
      <c r="A16" s="32"/>
      <c r="B16" s="31"/>
      <c r="C16" s="32"/>
      <c r="D16" s="23" t="s">
        <v>37</v>
      </c>
      <c r="E16" s="14" t="s">
        <v>38</v>
      </c>
    </row>
    <row r="17" spans="1:5" ht="105">
      <c r="A17" s="30" t="s">
        <v>39</v>
      </c>
      <c r="B17" s="31"/>
      <c r="C17" s="30" t="s">
        <v>40</v>
      </c>
      <c r="D17" s="23" t="s">
        <v>41</v>
      </c>
      <c r="E17" s="14" t="s">
        <v>42</v>
      </c>
    </row>
    <row r="18" spans="1:5" ht="210">
      <c r="A18" s="31"/>
      <c r="B18" s="31"/>
      <c r="C18" s="31"/>
      <c r="D18" s="23" t="s">
        <v>43</v>
      </c>
      <c r="E18" s="14" t="s">
        <v>44</v>
      </c>
    </row>
    <row r="19" spans="1:5" ht="60">
      <c r="A19" s="33" t="s">
        <v>45</v>
      </c>
      <c r="B19" s="33" t="s">
        <v>46</v>
      </c>
      <c r="C19" s="33" t="s">
        <v>47</v>
      </c>
      <c r="D19" s="22" t="s">
        <v>48</v>
      </c>
      <c r="E19" s="34" t="s">
        <v>49</v>
      </c>
    </row>
    <row r="20" spans="1:5" ht="75">
      <c r="A20" s="33"/>
      <c r="B20" s="33"/>
      <c r="C20" s="33"/>
      <c r="D20" s="27" t="s">
        <v>50</v>
      </c>
      <c r="E20" s="36"/>
    </row>
    <row r="21" spans="1:5" ht="75">
      <c r="A21" s="33"/>
      <c r="B21" s="33"/>
      <c r="C21" s="33"/>
      <c r="D21" s="27" t="s">
        <v>51</v>
      </c>
      <c r="E21" s="36"/>
    </row>
    <row r="22" spans="1:5" ht="180">
      <c r="A22" s="33"/>
      <c r="B22" s="33"/>
      <c r="C22" s="33"/>
      <c r="D22" s="27" t="s">
        <v>52</v>
      </c>
      <c r="E22" s="35"/>
    </row>
    <row r="23" spans="1:5" ht="90">
      <c r="A23" s="33"/>
      <c r="B23" s="33" t="s">
        <v>53</v>
      </c>
      <c r="C23" s="33" t="s">
        <v>54</v>
      </c>
      <c r="D23" s="27" t="s">
        <v>55</v>
      </c>
      <c r="E23" s="34" t="s">
        <v>56</v>
      </c>
    </row>
    <row r="24" spans="1:5" ht="75">
      <c r="A24" s="33"/>
      <c r="B24" s="33"/>
      <c r="C24" s="33"/>
      <c r="D24" s="27" t="s">
        <v>57</v>
      </c>
      <c r="E24" s="36"/>
    </row>
    <row r="25" spans="1:5" ht="75">
      <c r="A25" s="33"/>
      <c r="B25" s="33"/>
      <c r="C25" s="33"/>
      <c r="D25" s="27" t="s">
        <v>58</v>
      </c>
      <c r="E25" s="36"/>
    </row>
    <row r="26" spans="1:5" ht="60">
      <c r="A26" s="33"/>
      <c r="B26" s="33"/>
      <c r="C26" s="33"/>
      <c r="D26" s="27" t="s">
        <v>59</v>
      </c>
      <c r="E26" s="35"/>
    </row>
  </sheetData>
  <mergeCells count="21">
    <mergeCell ref="C17:C18"/>
    <mergeCell ref="C19:C22"/>
    <mergeCell ref="C23:C26"/>
    <mergeCell ref="E3:E4"/>
    <mergeCell ref="E7:E11"/>
    <mergeCell ref="E19:E22"/>
    <mergeCell ref="E23:E26"/>
    <mergeCell ref="A17:A18"/>
    <mergeCell ref="A19:A26"/>
    <mergeCell ref="B3:B4"/>
    <mergeCell ref="B6:B18"/>
    <mergeCell ref="B19:B22"/>
    <mergeCell ref="B23:B26"/>
    <mergeCell ref="B1:D1"/>
    <mergeCell ref="A1:A2"/>
    <mergeCell ref="A3:A5"/>
    <mergeCell ref="A6:A11"/>
    <mergeCell ref="A12:A16"/>
    <mergeCell ref="C3:C4"/>
    <mergeCell ref="C6:C11"/>
    <mergeCell ref="C12:C16"/>
  </mergeCells>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5" zoomScaleNormal="85" workbookViewId="0">
      <pane ySplit="2" topLeftCell="A14" activePane="bottomLeft" state="frozen"/>
      <selection pane="bottomLeft" activeCell="D18" sqref="D18"/>
    </sheetView>
  </sheetViews>
  <sheetFormatPr baseColWidth="10" defaultColWidth="8.83203125" defaultRowHeight="14"/>
  <cols>
    <col min="1" max="1" width="22.1640625" customWidth="1"/>
    <col min="2" max="2" width="7.1640625" customWidth="1"/>
    <col min="3" max="3" width="27.5" customWidth="1"/>
    <col min="4" max="4" width="102.6640625" customWidth="1"/>
    <col min="5" max="5" width="24" customWidth="1"/>
    <col min="6" max="6" width="23.33203125" customWidth="1"/>
  </cols>
  <sheetData>
    <row r="1" spans="1:6">
      <c r="A1" s="29" t="s">
        <v>0</v>
      </c>
      <c r="B1" s="29" t="s">
        <v>1</v>
      </c>
      <c r="C1" s="29"/>
      <c r="D1" s="29"/>
    </row>
    <row r="2" spans="1:6" ht="15">
      <c r="A2" s="29"/>
      <c r="B2" s="19" t="s">
        <v>2</v>
      </c>
      <c r="C2" s="18" t="s">
        <v>3</v>
      </c>
      <c r="D2" s="20" t="s">
        <v>4</v>
      </c>
      <c r="E2" t="s">
        <v>60</v>
      </c>
      <c r="F2" t="s">
        <v>61</v>
      </c>
    </row>
    <row r="3" spans="1:6" ht="90">
      <c r="A3" s="30" t="s">
        <v>6</v>
      </c>
      <c r="B3" s="30" t="s">
        <v>62</v>
      </c>
      <c r="C3" s="37" t="s">
        <v>63</v>
      </c>
      <c r="D3" s="22" t="s">
        <v>64</v>
      </c>
    </row>
    <row r="4" spans="1:6" ht="120">
      <c r="A4" s="31"/>
      <c r="B4" s="31"/>
      <c r="C4" s="37"/>
      <c r="D4" s="22" t="s">
        <v>65</v>
      </c>
    </row>
    <row r="5" spans="1:6" ht="60">
      <c r="A5" s="31"/>
      <c r="B5" s="31"/>
      <c r="C5" s="37"/>
      <c r="D5" s="22" t="s">
        <v>66</v>
      </c>
    </row>
    <row r="6" spans="1:6" ht="70" customHeight="1">
      <c r="A6" s="32"/>
      <c r="B6" s="31"/>
      <c r="C6" s="37"/>
      <c r="D6" s="22" t="s">
        <v>67</v>
      </c>
    </row>
    <row r="7" spans="1:6" ht="90">
      <c r="A7" s="30" t="s">
        <v>16</v>
      </c>
      <c r="B7" s="31"/>
      <c r="C7" s="34" t="s">
        <v>68</v>
      </c>
      <c r="D7" s="23" t="s">
        <v>69</v>
      </c>
    </row>
    <row r="8" spans="1:6" ht="45">
      <c r="A8" s="31"/>
      <c r="B8" s="31"/>
      <c r="C8" s="36"/>
      <c r="D8" s="23" t="s">
        <v>70</v>
      </c>
    </row>
    <row r="9" spans="1:6" ht="60">
      <c r="A9" s="31"/>
      <c r="B9" s="31"/>
      <c r="C9" s="36"/>
      <c r="D9" s="23" t="s">
        <v>71</v>
      </c>
    </row>
    <row r="10" spans="1:6" ht="60">
      <c r="A10" s="31"/>
      <c r="B10" s="31"/>
      <c r="C10" s="36"/>
      <c r="D10" s="23" t="s">
        <v>72</v>
      </c>
    </row>
    <row r="11" spans="1:6" ht="45">
      <c r="A11" s="32"/>
      <c r="B11" s="32"/>
      <c r="C11" s="35"/>
      <c r="D11" s="23" t="s">
        <v>73</v>
      </c>
    </row>
    <row r="12" spans="1:6" ht="60">
      <c r="A12" s="30" t="s">
        <v>27</v>
      </c>
      <c r="B12" s="31" t="s">
        <v>74</v>
      </c>
      <c r="C12" s="36" t="s">
        <v>75</v>
      </c>
      <c r="D12" s="23" t="s">
        <v>76</v>
      </c>
    </row>
    <row r="13" spans="1:6" ht="60">
      <c r="A13" s="31"/>
      <c r="B13" s="31"/>
      <c r="C13" s="36"/>
      <c r="D13" s="23" t="s">
        <v>77</v>
      </c>
    </row>
    <row r="14" spans="1:6" ht="105">
      <c r="A14" s="31"/>
      <c r="B14" s="31"/>
      <c r="C14" s="36"/>
      <c r="D14" s="23" t="s">
        <v>78</v>
      </c>
    </row>
    <row r="15" spans="1:6" ht="60">
      <c r="A15" s="31"/>
      <c r="B15" s="31"/>
      <c r="C15" s="36"/>
      <c r="D15" s="23" t="s">
        <v>79</v>
      </c>
    </row>
    <row r="16" spans="1:6" ht="105">
      <c r="A16" s="32"/>
      <c r="B16" s="32"/>
      <c r="C16" s="35"/>
      <c r="D16" s="23" t="s">
        <v>37</v>
      </c>
    </row>
    <row r="17" spans="1:4" ht="45">
      <c r="A17" s="30" t="s">
        <v>80</v>
      </c>
      <c r="B17" s="30" t="s">
        <v>81</v>
      </c>
      <c r="C17" s="37" t="s">
        <v>82</v>
      </c>
      <c r="D17" s="23" t="s">
        <v>83</v>
      </c>
    </row>
    <row r="18" spans="1:4" ht="180">
      <c r="A18" s="31"/>
      <c r="B18" s="31"/>
      <c r="C18" s="37"/>
      <c r="D18" s="23" t="s">
        <v>84</v>
      </c>
    </row>
    <row r="19" spans="1:4" ht="105">
      <c r="A19" s="31"/>
      <c r="B19" s="31"/>
      <c r="C19" s="37" t="s">
        <v>85</v>
      </c>
      <c r="D19" s="23" t="s">
        <v>86</v>
      </c>
    </row>
    <row r="20" spans="1:4" ht="105">
      <c r="A20" s="31"/>
      <c r="B20" s="31"/>
      <c r="C20" s="37"/>
      <c r="D20" s="23" t="s">
        <v>87</v>
      </c>
    </row>
    <row r="21" spans="1:4" ht="120">
      <c r="A21" s="32"/>
      <c r="B21" s="32"/>
      <c r="C21" s="37"/>
      <c r="D21" s="23" t="s">
        <v>88</v>
      </c>
    </row>
    <row r="22" spans="1:4">
      <c r="A22" s="24"/>
      <c r="B22" s="24"/>
      <c r="C22" s="24"/>
      <c r="D22" s="24"/>
    </row>
    <row r="23" spans="1:4">
      <c r="A23" s="24"/>
      <c r="B23" s="24"/>
      <c r="C23" s="24"/>
      <c r="D23" s="24"/>
    </row>
    <row r="24" spans="1:4">
      <c r="A24" s="24"/>
      <c r="B24" s="24"/>
      <c r="C24" s="24"/>
      <c r="D24" s="24"/>
    </row>
    <row r="25" spans="1:4">
      <c r="A25" s="24"/>
      <c r="B25" s="24"/>
      <c r="C25" s="24"/>
      <c r="D25" s="24"/>
    </row>
    <row r="26" spans="1:4">
      <c r="A26" s="24"/>
      <c r="B26" s="24"/>
      <c r="C26" s="24"/>
      <c r="D26" s="24"/>
    </row>
  </sheetData>
  <mergeCells count="14">
    <mergeCell ref="A17:A21"/>
    <mergeCell ref="B3:B11"/>
    <mergeCell ref="B12:B16"/>
    <mergeCell ref="B17:B21"/>
    <mergeCell ref="C3:C6"/>
    <mergeCell ref="C7:C11"/>
    <mergeCell ref="C12:C16"/>
    <mergeCell ref="C17:C18"/>
    <mergeCell ref="C19:C21"/>
    <mergeCell ref="B1:D1"/>
    <mergeCell ref="A1:A2"/>
    <mergeCell ref="A3:A6"/>
    <mergeCell ref="A7:A11"/>
    <mergeCell ref="A12:A16"/>
  </mergeCells>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B7" sqref="B7"/>
    </sheetView>
  </sheetViews>
  <sheetFormatPr baseColWidth="10" defaultColWidth="8.83203125" defaultRowHeight="14"/>
  <cols>
    <col min="2" max="2" width="32.1640625" customWidth="1"/>
    <col min="3" max="3" width="67.83203125" customWidth="1"/>
  </cols>
  <sheetData>
    <row r="1" spans="1:3">
      <c r="A1" s="17" t="s">
        <v>89</v>
      </c>
      <c r="B1" s="17" t="s">
        <v>90</v>
      </c>
      <c r="C1" s="17" t="s">
        <v>4</v>
      </c>
    </row>
    <row r="2" spans="1:3" ht="77" customHeight="1">
      <c r="A2" s="38" t="s">
        <v>91</v>
      </c>
      <c r="B2" s="12" t="s">
        <v>92</v>
      </c>
      <c r="C2" s="12"/>
    </row>
    <row r="3" spans="1:3" ht="77" customHeight="1">
      <c r="A3" s="38"/>
      <c r="B3" s="12" t="s">
        <v>93</v>
      </c>
      <c r="C3" s="12"/>
    </row>
    <row r="4" spans="1:3" ht="77" customHeight="1">
      <c r="A4" s="38"/>
      <c r="B4" s="12" t="s">
        <v>94</v>
      </c>
      <c r="C4" s="12"/>
    </row>
    <row r="5" spans="1:3" ht="77" customHeight="1">
      <c r="A5" s="38"/>
      <c r="B5" s="12" t="s">
        <v>95</v>
      </c>
      <c r="C5" s="12"/>
    </row>
    <row r="6" spans="1:3" ht="77" customHeight="1">
      <c r="A6" s="38" t="s">
        <v>96</v>
      </c>
      <c r="B6" s="12" t="s">
        <v>97</v>
      </c>
      <c r="C6" s="12"/>
    </row>
    <row r="7" spans="1:3" ht="77" customHeight="1">
      <c r="A7" s="38"/>
      <c r="B7" s="12" t="s">
        <v>98</v>
      </c>
      <c r="C7" s="12"/>
    </row>
    <row r="8" spans="1:3" ht="77" customHeight="1">
      <c r="A8" s="38"/>
      <c r="B8" s="12" t="s">
        <v>99</v>
      </c>
      <c r="C8" s="12"/>
    </row>
  </sheetData>
  <mergeCells count="2">
    <mergeCell ref="A2:A5"/>
    <mergeCell ref="A6:A8"/>
  </mergeCells>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
  <sheetViews>
    <sheetView workbookViewId="0">
      <selection activeCell="C7" sqref="C7"/>
    </sheetView>
  </sheetViews>
  <sheetFormatPr baseColWidth="10" defaultColWidth="9" defaultRowHeight="14"/>
  <cols>
    <col min="1" max="1" width="11.83203125" customWidth="1"/>
    <col min="2" max="2" width="12.1640625" style="1" customWidth="1"/>
    <col min="3" max="5" width="38.1640625" customWidth="1"/>
    <col min="6" max="6" width="7.6640625" customWidth="1"/>
    <col min="7" max="7" width="7.5" style="1" customWidth="1"/>
    <col min="8" max="8" width="17.83203125" style="1" customWidth="1"/>
    <col min="9" max="9" width="27.1640625" style="7" customWidth="1"/>
  </cols>
  <sheetData>
    <row r="1" spans="1:9" ht="38" customHeight="1">
      <c r="A1" s="39" t="s">
        <v>100</v>
      </c>
      <c r="B1" s="39"/>
      <c r="C1" s="39"/>
      <c r="D1" s="39"/>
      <c r="E1" s="39"/>
      <c r="F1" s="39"/>
      <c r="G1" s="39"/>
      <c r="H1" s="39" t="s">
        <v>101</v>
      </c>
      <c r="I1" s="39"/>
    </row>
    <row r="2" spans="1:9" s="5" customFormat="1">
      <c r="A2" s="8" t="s">
        <v>102</v>
      </c>
      <c r="B2" s="8" t="s">
        <v>103</v>
      </c>
      <c r="C2" s="8" t="s">
        <v>104</v>
      </c>
      <c r="D2" s="8" t="s">
        <v>105</v>
      </c>
      <c r="E2" s="8" t="s">
        <v>106</v>
      </c>
      <c r="F2" s="9" t="s">
        <v>107</v>
      </c>
      <c r="G2" s="9" t="s">
        <v>108</v>
      </c>
      <c r="H2" s="10" t="s">
        <v>109</v>
      </c>
      <c r="I2" s="10" t="s">
        <v>110</v>
      </c>
    </row>
    <row r="3" spans="1:9">
      <c r="A3" s="11"/>
      <c r="B3" s="12"/>
      <c r="C3" s="12"/>
      <c r="D3" s="12"/>
      <c r="E3" s="12"/>
      <c r="F3" s="11"/>
      <c r="G3" s="12"/>
      <c r="H3" s="13"/>
      <c r="I3" s="11"/>
    </row>
    <row r="4" spans="1:9">
      <c r="A4" s="11"/>
      <c r="B4" s="12"/>
      <c r="C4" s="12"/>
      <c r="D4" s="12"/>
      <c r="E4" s="12"/>
      <c r="F4" s="11"/>
      <c r="G4" s="12"/>
      <c r="H4" s="13"/>
      <c r="I4" s="11"/>
    </row>
    <row r="5" spans="1:9">
      <c r="A5" s="11"/>
      <c r="B5" s="12"/>
      <c r="C5" s="12"/>
      <c r="D5" s="12"/>
      <c r="E5" s="12"/>
      <c r="F5" s="11"/>
      <c r="G5" s="12"/>
      <c r="H5" s="13"/>
      <c r="I5" s="14"/>
    </row>
    <row r="6" spans="1:9">
      <c r="A6" s="11"/>
      <c r="B6" s="12"/>
      <c r="C6" s="12"/>
      <c r="D6" s="12"/>
      <c r="E6" s="12"/>
      <c r="F6" s="11"/>
      <c r="G6" s="12"/>
      <c r="H6" s="15"/>
      <c r="I6" s="14"/>
    </row>
    <row r="7" spans="1:9" ht="32" customHeight="1">
      <c r="A7" s="11"/>
      <c r="B7" s="12"/>
      <c r="C7" s="12"/>
      <c r="D7" s="12"/>
      <c r="E7" s="12"/>
      <c r="F7" s="11"/>
      <c r="G7" s="12"/>
      <c r="H7" s="13"/>
      <c r="I7" s="14"/>
    </row>
    <row r="8" spans="1:9">
      <c r="A8" s="11"/>
      <c r="B8" s="12"/>
      <c r="C8" s="12"/>
      <c r="D8" s="12"/>
      <c r="E8" s="12"/>
      <c r="F8" s="11"/>
      <c r="G8" s="12"/>
      <c r="H8" s="13"/>
      <c r="I8" s="14"/>
    </row>
    <row r="9" spans="1:9">
      <c r="A9" s="11"/>
      <c r="B9" s="12"/>
      <c r="C9" s="12"/>
      <c r="D9" s="12"/>
      <c r="E9" s="12"/>
      <c r="F9" s="11"/>
      <c r="G9" s="12"/>
      <c r="H9" s="13"/>
      <c r="I9" s="14"/>
    </row>
    <row r="10" spans="1:9">
      <c r="A10" s="11"/>
      <c r="B10" s="12"/>
      <c r="C10" s="12"/>
      <c r="D10" s="12"/>
      <c r="E10" s="12"/>
      <c r="F10" s="11"/>
      <c r="G10" s="12"/>
      <c r="H10" s="13"/>
      <c r="I10" s="14"/>
    </row>
    <row r="11" spans="1:9">
      <c r="A11" s="11"/>
      <c r="B11" s="12"/>
      <c r="C11" s="12"/>
      <c r="D11" s="12"/>
      <c r="E11" s="12"/>
      <c r="F11" s="11"/>
      <c r="G11" s="12"/>
      <c r="H11" s="15"/>
      <c r="I11" s="14"/>
    </row>
    <row r="12" spans="1:9">
      <c r="A12" s="11"/>
      <c r="B12" s="12"/>
      <c r="C12" s="12"/>
      <c r="D12" s="12"/>
      <c r="E12" s="12"/>
      <c r="F12" s="11"/>
      <c r="G12" s="12"/>
      <c r="H12" s="15"/>
      <c r="I12" s="14"/>
    </row>
    <row r="13" spans="1:9">
      <c r="A13" s="11"/>
      <c r="B13" s="12"/>
      <c r="C13" s="12"/>
      <c r="D13" s="12"/>
      <c r="E13" s="12"/>
      <c r="F13" s="11"/>
      <c r="G13" s="12"/>
      <c r="H13" s="15"/>
      <c r="I13" s="14"/>
    </row>
    <row r="14" spans="1:9" ht="18" customHeight="1">
      <c r="A14" s="11"/>
      <c r="B14" s="12"/>
      <c r="C14" s="12"/>
      <c r="D14" s="12"/>
      <c r="E14" s="12"/>
      <c r="F14" s="11"/>
      <c r="G14" s="12"/>
      <c r="H14" s="15"/>
      <c r="I14" s="14"/>
    </row>
    <row r="15" spans="1:9" ht="18" customHeight="1">
      <c r="A15" s="11"/>
      <c r="B15" s="12"/>
      <c r="C15" s="12"/>
      <c r="D15" s="12"/>
      <c r="E15" s="12"/>
      <c r="F15" s="11"/>
      <c r="G15" s="12"/>
      <c r="H15" s="13"/>
      <c r="I15" s="14"/>
    </row>
    <row r="16" spans="1:9" ht="18" customHeight="1">
      <c r="A16" s="11"/>
      <c r="B16" s="12"/>
      <c r="C16" s="12"/>
      <c r="D16" s="12"/>
      <c r="E16" s="12"/>
      <c r="F16" s="11"/>
      <c r="G16" s="12"/>
      <c r="H16" s="13"/>
      <c r="I16" s="14"/>
    </row>
    <row r="17" spans="1:9" ht="18" customHeight="1">
      <c r="A17" s="11"/>
      <c r="B17" s="12"/>
      <c r="C17" s="12"/>
      <c r="D17" s="12"/>
      <c r="E17" s="12"/>
      <c r="F17" s="11"/>
      <c r="G17" s="12"/>
      <c r="H17" s="15"/>
      <c r="I17" s="14"/>
    </row>
    <row r="18" spans="1:9" ht="18" customHeight="1">
      <c r="A18" s="11"/>
      <c r="B18" s="12"/>
      <c r="C18" s="12"/>
      <c r="D18" s="12"/>
      <c r="E18" s="12"/>
      <c r="F18" s="11"/>
      <c r="G18" s="12"/>
      <c r="H18" s="15"/>
      <c r="I18" s="14"/>
    </row>
    <row r="19" spans="1:9" ht="18" customHeight="1">
      <c r="A19" s="11"/>
      <c r="B19" s="12"/>
      <c r="C19" s="12"/>
      <c r="D19" s="12"/>
      <c r="E19" s="12"/>
      <c r="F19" s="11"/>
      <c r="G19" s="12"/>
      <c r="H19" s="15"/>
      <c r="I19" s="14"/>
    </row>
    <row r="20" spans="1:9" ht="18" customHeight="1">
      <c r="A20" s="11"/>
      <c r="B20" s="12"/>
      <c r="C20" s="12"/>
      <c r="D20" s="12"/>
      <c r="E20" s="12"/>
      <c r="F20" s="11"/>
      <c r="G20" s="12"/>
      <c r="H20" s="13"/>
      <c r="I20" s="14"/>
    </row>
    <row r="21" spans="1:9" ht="18" customHeight="1">
      <c r="A21" s="11"/>
      <c r="B21" s="12"/>
      <c r="C21" s="12"/>
      <c r="D21" s="12"/>
      <c r="E21" s="12"/>
      <c r="F21" s="11"/>
      <c r="G21" s="12"/>
      <c r="H21" s="15"/>
      <c r="I21" s="14"/>
    </row>
    <row r="22" spans="1:9" ht="17" customHeight="1">
      <c r="A22" s="11"/>
      <c r="B22" s="12"/>
      <c r="C22" s="12"/>
      <c r="D22" s="12"/>
      <c r="E22" s="12"/>
      <c r="F22" s="11"/>
      <c r="G22" s="12"/>
      <c r="H22" s="15"/>
      <c r="I22" s="14"/>
    </row>
    <row r="23" spans="1:9" ht="17" customHeight="1">
      <c r="A23" s="11"/>
      <c r="B23" s="12"/>
      <c r="C23" s="12"/>
      <c r="D23" s="12"/>
      <c r="E23" s="12"/>
      <c r="F23" s="11"/>
      <c r="G23" s="12"/>
      <c r="H23" s="15"/>
      <c r="I23" s="14"/>
    </row>
    <row r="24" spans="1:9" ht="17" customHeight="1">
      <c r="A24" s="11"/>
      <c r="B24" s="12"/>
      <c r="C24" s="12"/>
      <c r="D24" s="12"/>
      <c r="E24" s="12"/>
      <c r="F24" s="11"/>
      <c r="G24" s="12"/>
      <c r="H24" s="15"/>
      <c r="I24" s="14"/>
    </row>
    <row r="25" spans="1:9" ht="24" customHeight="1">
      <c r="A25" s="11"/>
      <c r="B25" s="12"/>
      <c r="C25" s="12"/>
      <c r="D25" s="12"/>
      <c r="E25" s="12"/>
      <c r="F25" s="11"/>
      <c r="G25" s="12"/>
      <c r="H25" s="15"/>
      <c r="I25" s="14"/>
    </row>
    <row r="26" spans="1:9" ht="19" customHeight="1">
      <c r="A26" s="11"/>
      <c r="B26" s="12"/>
      <c r="C26" s="12"/>
      <c r="D26" s="12"/>
      <c r="E26" s="12"/>
      <c r="F26" s="11"/>
      <c r="G26" s="12"/>
      <c r="H26" s="15"/>
      <c r="I26" s="14"/>
    </row>
    <row r="27" spans="1:9" s="2" customFormat="1" ht="36" customHeight="1">
      <c r="A27" s="11"/>
      <c r="B27" s="12"/>
      <c r="C27" s="11"/>
      <c r="D27" s="11"/>
      <c r="E27" s="11"/>
      <c r="F27" s="11"/>
      <c r="G27" s="11"/>
      <c r="H27" s="16"/>
      <c r="I27" s="14"/>
    </row>
    <row r="28" spans="1:9" ht="17" customHeight="1">
      <c r="A28" s="11"/>
      <c r="B28" s="12"/>
      <c r="C28" s="12"/>
      <c r="D28" s="12"/>
      <c r="E28" s="12"/>
      <c r="F28" s="11"/>
      <c r="G28" s="12"/>
      <c r="H28" s="16"/>
      <c r="I28" s="14"/>
    </row>
    <row r="29" spans="1:9">
      <c r="A29" s="11"/>
      <c r="B29" s="12"/>
      <c r="C29" s="12"/>
      <c r="D29" s="12"/>
      <c r="E29" s="12"/>
      <c r="F29" s="11"/>
      <c r="G29" s="12"/>
      <c r="H29" s="16"/>
      <c r="I29" s="14"/>
    </row>
    <row r="30" spans="1:9">
      <c r="A30" s="11"/>
      <c r="B30" s="12"/>
      <c r="C30" s="12"/>
      <c r="D30" s="12"/>
      <c r="E30" s="12"/>
      <c r="F30" s="11"/>
      <c r="G30" s="12"/>
      <c r="H30" s="16"/>
      <c r="I30" s="14"/>
    </row>
    <row r="31" spans="1:9">
      <c r="A31" s="11"/>
      <c r="B31" s="12"/>
      <c r="C31" s="12"/>
      <c r="D31" s="12"/>
      <c r="E31" s="12"/>
      <c r="F31" s="11"/>
      <c r="G31" s="12"/>
      <c r="H31" s="16"/>
      <c r="I31" s="14"/>
    </row>
    <row r="32" spans="1:9">
      <c r="A32" s="11"/>
      <c r="B32" s="12"/>
      <c r="C32" s="12"/>
      <c r="D32" s="12"/>
      <c r="E32" s="12"/>
      <c r="F32" s="11"/>
      <c r="G32" s="12"/>
      <c r="H32" s="15"/>
      <c r="I32" s="14"/>
    </row>
    <row r="33" spans="1:9">
      <c r="A33" s="11"/>
      <c r="B33" s="12"/>
      <c r="C33" s="12"/>
      <c r="D33" s="12"/>
      <c r="E33" s="12"/>
      <c r="F33" s="11"/>
      <c r="G33" s="12"/>
      <c r="H33" s="15"/>
      <c r="I33" s="14"/>
    </row>
    <row r="34" spans="1:9">
      <c r="A34" s="11"/>
      <c r="B34" s="12"/>
      <c r="C34" s="12"/>
      <c r="D34" s="12"/>
      <c r="E34" s="12"/>
      <c r="F34" s="11"/>
      <c r="G34" s="12"/>
      <c r="H34" s="15"/>
      <c r="I34" s="14"/>
    </row>
    <row r="35" spans="1:9">
      <c r="A35" s="11"/>
      <c r="B35" s="12"/>
      <c r="C35" s="11"/>
      <c r="D35" s="11"/>
      <c r="E35" s="11"/>
      <c r="F35" s="11"/>
      <c r="G35" s="12"/>
      <c r="H35" s="13"/>
      <c r="I35" s="14"/>
    </row>
    <row r="36" spans="1:9" s="6" customFormat="1">
      <c r="A36" s="11"/>
      <c r="B36" s="12"/>
      <c r="C36" s="12"/>
      <c r="D36" s="12"/>
      <c r="E36" s="12"/>
      <c r="F36" s="11"/>
      <c r="G36" s="12"/>
      <c r="H36" s="13"/>
      <c r="I36" s="14"/>
    </row>
    <row r="37" spans="1:9" ht="21" customHeight="1">
      <c r="A37" s="11"/>
      <c r="B37" s="12"/>
      <c r="C37" s="12"/>
      <c r="D37" s="12"/>
      <c r="E37" s="12"/>
      <c r="F37" s="11"/>
      <c r="G37" s="12"/>
      <c r="H37" s="15"/>
      <c r="I37" s="14"/>
    </row>
  </sheetData>
  <mergeCells count="2">
    <mergeCell ref="A1:G1"/>
    <mergeCell ref="H1:I1"/>
  </mergeCells>
  <phoneticPr fontId="10" type="noConversion"/>
  <dataValidations count="1">
    <dataValidation allowBlank="1" showInputMessage="1" showErrorMessage="1" sqref="H3:H1048576" xr:uid="{00000000-0002-0000-0300-000000000000}"/>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zoomScale="170" zoomScaleNormal="170" workbookViewId="0">
      <selection activeCell="D9" sqref="D9"/>
    </sheetView>
  </sheetViews>
  <sheetFormatPr baseColWidth="10" defaultColWidth="9" defaultRowHeight="14"/>
  <cols>
    <col min="1" max="1" width="15.5" customWidth="1"/>
    <col min="2" max="2" width="9" style="1"/>
    <col min="4" max="4" width="22.83203125" customWidth="1"/>
    <col min="5" max="5" width="12.6640625"/>
    <col min="7" max="7" width="19" customWidth="1"/>
    <col min="8" max="8" width="12.6640625"/>
  </cols>
  <sheetData>
    <row r="1" spans="1:8" ht="30">
      <c r="A1" t="s">
        <v>102</v>
      </c>
      <c r="B1" s="1" t="s">
        <v>111</v>
      </c>
      <c r="D1" s="2" t="s">
        <v>112</v>
      </c>
      <c r="E1" s="1" t="s">
        <v>113</v>
      </c>
      <c r="G1" t="s">
        <v>114</v>
      </c>
      <c r="H1" s="1" t="s">
        <v>113</v>
      </c>
    </row>
    <row r="2" spans="1:8">
      <c r="A2" t="s">
        <v>115</v>
      </c>
      <c r="B2" s="3">
        <v>8.9824999999999999</v>
      </c>
      <c r="D2" t="s">
        <v>115</v>
      </c>
      <c r="E2" s="3">
        <f>12/20.1575*B2</f>
        <v>5.3473893091901301</v>
      </c>
      <c r="G2" t="s">
        <v>115</v>
      </c>
      <c r="H2" s="3">
        <f>12/22.0825*B2</f>
        <v>4.88124080153968</v>
      </c>
    </row>
    <row r="3" spans="1:8">
      <c r="A3" t="s">
        <v>116</v>
      </c>
      <c r="B3" s="3">
        <v>4</v>
      </c>
      <c r="D3" t="s">
        <v>116</v>
      </c>
      <c r="E3" s="3">
        <f>12/20.1575*B3</f>
        <v>2.3812476745628199</v>
      </c>
      <c r="G3" t="s">
        <v>116</v>
      </c>
      <c r="H3" s="3">
        <f>12/22.0825*B3</f>
        <v>2.1736669308275798</v>
      </c>
    </row>
    <row r="4" spans="1:8">
      <c r="A4" t="s">
        <v>117</v>
      </c>
      <c r="B4" s="3">
        <v>3.9</v>
      </c>
      <c r="D4" t="s">
        <v>117</v>
      </c>
      <c r="E4" s="3">
        <f>12/20.1575*B4</f>
        <v>2.3217164826987502</v>
      </c>
      <c r="G4" t="s">
        <v>117</v>
      </c>
      <c r="H4" s="3">
        <f>12/22.0825*B4</f>
        <v>2.1193252575568899</v>
      </c>
    </row>
    <row r="5" spans="1:8">
      <c r="A5" t="s">
        <v>118</v>
      </c>
      <c r="B5" s="3">
        <v>8.4749999999999996</v>
      </c>
      <c r="D5" t="s">
        <v>119</v>
      </c>
      <c r="E5" s="3">
        <f>12/20.1575*B6</f>
        <v>1.94964653354831</v>
      </c>
      <c r="G5" t="s">
        <v>120</v>
      </c>
      <c r="H5" s="3">
        <f>12/22.0825*B7</f>
        <v>2.8257670100758498</v>
      </c>
    </row>
    <row r="6" spans="1:8">
      <c r="A6" s="28" t="s">
        <v>121</v>
      </c>
      <c r="B6" s="4">
        <v>3.2749999999999999</v>
      </c>
    </row>
    <row r="7" spans="1:8">
      <c r="A7" s="28" t="s">
        <v>122</v>
      </c>
      <c r="B7" s="4">
        <v>5.2</v>
      </c>
    </row>
  </sheetData>
  <phoneticPr fontId="10"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4-代理人DEMO故事线</vt:lpstr>
      <vt:lpstr>4-代理人DEMO故事线（旧）</vt:lpstr>
      <vt:lpstr>Sheet1</vt:lpstr>
      <vt:lpstr>分公司内勤</vt:lpstr>
      <vt:lpstr>数据汇总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dc:creator>
  <cp:lastModifiedBy>Microsoft Office User</cp:lastModifiedBy>
  <dcterms:created xsi:type="dcterms:W3CDTF">2023-05-12T19:15:00Z</dcterms:created>
  <dcterms:modified xsi:type="dcterms:W3CDTF">2026-02-14T09:38:34Z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D6B37CDEB63F42999C185A9B14C756D1_13</vt:lpwstr>
  </property>
  <property fmtid="{D5CDD505-2E9C-101B-9397-08002B2CF9AE}" pid="4" name="CalculationRule">
    <vt:i4>0</vt:i4>
  </property>
</Properties>
</file>